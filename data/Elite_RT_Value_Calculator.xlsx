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Savings Scenarios" sheetId="3" state="visible" r:id="rId5"/>
    <sheet name="Revenue" sheetId="4" state="visible" r:id="rId6"/>
    <sheet name="Value Bridg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<sst xmlns="http://schemas.openxmlformats.org/spreadsheetml/2006/main" count="267" uniqueCount="197">
  <si>
    <t xml:space="preserve">Elite RT Value Calculator</t>
  </si>
  <si>
    <t xml:space="preserve">Companion to the Elite Respiratory Therapy Service Line deck · Respiratory Gate Egypt · Discussion draft, October 2026</t>
  </si>
  <si>
    <t xml:space="preserve">Purpose</t>
  </si>
  <si>
    <t xml:space="preserve">Turns Elite's own operational and financial data into revenue and cost-avoidance scenarios for the respiratory service line.</t>
  </si>
  <si>
    <t xml:space="preserve">Status</t>
  </si>
  <si>
    <t xml:space="preserve">NO ELITE DATA ENTERED YET. Savings show 'Baseline required' until inputs are filled. No values are invented.</t>
  </si>
  <si>
    <t xml:space="preserve">How to use</t>
  </si>
  <si>
    <t xml:space="preserve">1) Fill every yellow cell on 'Inputs' (and the yellow cells on 'Revenue'). 2) Pick scenarios with the selectors on 'Value Bridge'. 3) Review 'Savings Scenarios' and 'Value Bridge'.</t>
  </si>
  <si>
    <t xml:space="preserve">Legend · yellow fill</t>
  </si>
  <si>
    <t xml:space="preserve">Elite input — enter hospital data here.</t>
  </si>
  <si>
    <t xml:space="preserve">Legend · blue text</t>
  </si>
  <si>
    <t xml:space="preserve">Assumption or scenario lever set by Respiratory Gate (editable).</t>
  </si>
  <si>
    <t xml:space="preserve">Legend · black text</t>
  </si>
  <si>
    <t xml:space="preserve">Formula — do not overwrite.</t>
  </si>
  <si>
    <t xml:space="preserve">Legend · green text</t>
  </si>
  <si>
    <t xml:space="preserve">Link to another sheet.</t>
  </si>
  <si>
    <t xml:space="preserve">Rule 1</t>
  </si>
  <si>
    <t xml:space="preserve">Gross revenue is not profit. Contribution margin requires Elite cost data.</t>
  </si>
  <si>
    <t xml:space="preserve">Rule 2</t>
  </si>
  <si>
    <t xml:space="preserve">Package price (EGP 800–1,200 per occupied ICU respiratory patient-day) is a commercial assumption, subject to Elite Finance, payer and contract validation; not an established Egyptian reimbursement rate.</t>
  </si>
  <si>
    <t xml:space="preserve">Rule 3</t>
  </si>
  <si>
    <t xml:space="preserve">Savings percentages (5% / 10% / 15%) are sensitivities applied to Elite's baseline, not forecasts or claims.</t>
  </si>
  <si>
    <t xml:space="preserve">Rule 4</t>
  </si>
  <si>
    <t xml:space="preserve">Ventilator, NIV/HFNC and consumable levers can overlap (circuits, filters, interfaces). Finance should de-duplicate before quoting a total.</t>
  </si>
  <si>
    <t xml:space="preserve">Rule 5</t>
  </si>
  <si>
    <t xml:space="preserve">Recovered billing (unbilled eligible activity × tariff × collection rate) is counted as revenue on the Value Bridge, not as a saving.</t>
  </si>
  <si>
    <t xml:space="preserve">Source</t>
  </si>
  <si>
    <t xml:space="preserve">ICU beds = 50: Elite Hospital official website, Intensive Care service page (elitehospital.org, accessed 6 Oct 2026).</t>
  </si>
  <si>
    <t xml:space="preserve">Elite hospital inputs</t>
  </si>
  <si>
    <t xml:space="preserve">Yellow = Elite data required. All figures annual unless stated. Leave blank if unknown — formulas will show 'Baseline required'.</t>
  </si>
  <si>
    <t xml:space="preserve">Variable</t>
  </si>
  <si>
    <t xml:space="preserve">Unit</t>
  </si>
  <si>
    <t xml:space="preserve">Value</t>
  </si>
  <si>
    <t xml:space="preserve">Data owner</t>
  </si>
  <si>
    <t xml:space="preserve">Format / note</t>
  </si>
  <si>
    <t xml:space="preserve">ICU ACTIVITY</t>
  </si>
  <si>
    <t xml:space="preserve">ICU beds</t>
  </si>
  <si>
    <t xml:space="preserve">beds</t>
  </si>
  <si>
    <t xml:space="preserve">Verified</t>
  </si>
  <si>
    <t xml:space="preserve">Elite official ICU page (elitehospital.org, 6 Oct 2026)</t>
  </si>
  <si>
    <t xml:space="preserve">ICU occupancy rate</t>
  </si>
  <si>
    <t xml:space="preserve">%</t>
  </si>
  <si>
    <t xml:space="preserve">ICU / Admissions</t>
  </si>
  <si>
    <t xml:space="preserve">Annual average, as a percentage (e.g. enter 0.8 for 80%)</t>
  </si>
  <si>
    <t xml:space="preserve">Ventilated patient-days</t>
  </si>
  <si>
    <t xml:space="preserve">patient-days / yr</t>
  </si>
  <si>
    <t xml:space="preserve">ICU</t>
  </si>
  <si>
    <t xml:space="preserve">Invasive mechanical ventilation days, all ICUs</t>
  </si>
  <si>
    <t xml:space="preserve">Average ventilator days per patient</t>
  </si>
  <si>
    <t xml:space="preserve">days</t>
  </si>
  <si>
    <t xml:space="preserve">Mean duration of invasive ventilation</t>
  </si>
  <si>
    <t xml:space="preserve">NIV patient-days</t>
  </si>
  <si>
    <t xml:space="preserve">NIV / CPAP / BiPAP days</t>
  </si>
  <si>
    <t xml:space="preserve">HFNC patient-days</t>
  </si>
  <si>
    <t xml:space="preserve">High-flow nasal cannula days</t>
  </si>
  <si>
    <t xml:space="preserve">Oxygen consumption</t>
  </si>
  <si>
    <t xml:space="preserve">m³ or units / yr</t>
  </si>
  <si>
    <t xml:space="preserve">Supply chain</t>
  </si>
  <si>
    <t xml:space="preserve">As purchased (state unit in note)</t>
  </si>
  <si>
    <t xml:space="preserve">UNIT COSTS</t>
  </si>
  <si>
    <t xml:space="preserve">Cost per ventilator-day</t>
  </si>
  <si>
    <t xml:space="preserve">EGP</t>
  </si>
  <si>
    <t xml:space="preserve">Finance</t>
  </si>
  <si>
    <t xml:space="preserve">Consumables + device + direct resources per ventilated day</t>
  </si>
  <si>
    <t xml:space="preserve">Cost per NIV day</t>
  </si>
  <si>
    <t xml:space="preserve">Interfaces, circuits, device cost per NIV day</t>
  </si>
  <si>
    <t xml:space="preserve">Cost per HFNC day</t>
  </si>
  <si>
    <t xml:space="preserve">Circuits, humidification, device cost per HFNC day</t>
  </si>
  <si>
    <t xml:space="preserve">SPEND (EGP / YEAR)</t>
  </si>
  <si>
    <t xml:space="preserve">Oxygen spend</t>
  </si>
  <si>
    <t xml:space="preserve">EGP / yr</t>
  </si>
  <si>
    <t xml:space="preserve">Total medical oxygen purchasing</t>
  </si>
  <si>
    <t xml:space="preserve">Respiratory consumable expenditure</t>
  </si>
  <si>
    <t xml:space="preserve">Circuits, HME/HMEF, filters, closed suction, nebulizer kits, interfaces, HFNC circuits, humidification</t>
  </si>
  <si>
    <t xml:space="preserve">Respiratory equipment rental</t>
  </si>
  <si>
    <t xml:space="preserve">Biomedical</t>
  </si>
  <si>
    <t xml:space="preserve">If applicable</t>
  </si>
  <si>
    <t xml:space="preserve">Respiratory equipment maintenance</t>
  </si>
  <si>
    <t xml:space="preserve">Service contracts and repairs</t>
  </si>
  <si>
    <t xml:space="preserve">Planned respiratory equipment purchases</t>
  </si>
  <si>
    <t xml:space="preserve">Capital budget for ventilators, NIV, HFNC, humidifiers, transport ventilators</t>
  </si>
  <si>
    <t xml:space="preserve">Current respiratory staffing expenditure</t>
  </si>
  <si>
    <t xml:space="preserve">HR / Finance</t>
  </si>
  <si>
    <t xml:space="preserve">Staff currently delivering respiratory tasks</t>
  </si>
  <si>
    <t xml:space="preserve">Overtime expenditure (respiratory-related)</t>
  </si>
  <si>
    <t xml:space="preserve">PFT outsourcing</t>
  </si>
  <si>
    <t xml:space="preserve">External respiratory service expenditure</t>
  </si>
  <si>
    <t xml:space="preserve">USAGE (UNITS / YEAR)</t>
  </si>
  <si>
    <t xml:space="preserve">Ventilator circuit usage</t>
  </si>
  <si>
    <t xml:space="preserve">units / yr</t>
  </si>
  <si>
    <t xml:space="preserve">Filter usage</t>
  </si>
  <si>
    <t xml:space="preserve">Closed suction usage</t>
  </si>
  <si>
    <t xml:space="preserve">HFNC circuit usage</t>
  </si>
  <si>
    <t xml:space="preserve">NIV interface usage</t>
  </si>
  <si>
    <t xml:space="preserve">Respiratory equipment inventory</t>
  </si>
  <si>
    <t xml:space="preserve">devices</t>
  </si>
  <si>
    <t xml:space="preserve">Ventilators, NIV, HFNC, humidifiers, nebulizers, transport ventilators</t>
  </si>
  <si>
    <t xml:space="preserve">Respiratory equipment utilization rate</t>
  </si>
  <si>
    <t xml:space="preserve">Average in-use time ÷ available time</t>
  </si>
  <si>
    <t xml:space="preserve">BILLING</t>
  </si>
  <si>
    <t xml:space="preserve">Current billable respiratory activities</t>
  </si>
  <si>
    <t xml:space="preserve">activities / yr</t>
  </si>
  <si>
    <t xml:space="preserve">Finance / Billing</t>
  </si>
  <si>
    <t xml:space="preserve">Activities billed today</t>
  </si>
  <si>
    <t xml:space="preserve">Unbilled eligible respiratory activities</t>
  </si>
  <si>
    <t xml:space="preserve">Performed but not captured (from audit)</t>
  </si>
  <si>
    <t xml:space="preserve">Average tariff per respiratory activity</t>
  </si>
  <si>
    <t xml:space="preserve">Actual collection rate</t>
  </si>
  <si>
    <t xml:space="preserve">Collected ÷ billed</t>
  </si>
  <si>
    <t xml:space="preserve">Cost-avoidance scenarios (EGP / year)</t>
  </si>
  <si>
    <t xml:space="preserve">Annual saving = Elite baseline × scenario %. Percentages are sensitivities, not forecasts. 'Baseline required' until the Inputs are filled.</t>
  </si>
  <si>
    <t xml:space="preserve">Scenario %</t>
  </si>
  <si>
    <t xml:space="preserve">Low</t>
  </si>
  <si>
    <t xml:space="preserve">Mid</t>
  </si>
  <si>
    <t xml:space="preserve">High</t>
  </si>
  <si>
    <t xml:space="preserve">Applied to each lever's baseline (editable)</t>
  </si>
  <si>
    <t xml:space="preserve">Cost-avoidance lever</t>
  </si>
  <si>
    <t xml:space="preserve">Baseline formula</t>
  </si>
  <si>
    <t xml:space="preserve">Baseline (EGP / yr)</t>
  </si>
  <si>
    <t xml:space="preserve">Ventilator resources</t>
  </si>
  <si>
    <t xml:space="preserve">Ventilated patient-days × cost per ventilator-day</t>
  </si>
  <si>
    <t xml:space="preserve">NIV / HFNC utilization</t>
  </si>
  <si>
    <t xml:space="preserve">NIV days × cost per NIV day + HFNC days × cost per HFNC day</t>
  </si>
  <si>
    <t xml:space="preserve">Oxygen stewardship</t>
  </si>
  <si>
    <t xml:space="preserve">Annual oxygen spend</t>
  </si>
  <si>
    <t xml:space="preserve">Consumable standardization</t>
  </si>
  <si>
    <t xml:space="preserve">Annual respiratory consumable spend</t>
  </si>
  <si>
    <t xml:space="preserve">Equipment utilization</t>
  </si>
  <si>
    <t xml:space="preserve">Rental + maintenance + planned purchases</t>
  </si>
  <si>
    <t xml:space="preserve">Staffing &amp; outsourcing</t>
  </si>
  <si>
    <t xml:space="preserve">Overtime + PFT outsourcing + external respiratory services</t>
  </si>
  <si>
    <t xml:space="preserve">Total cost-avoidance opportunity</t>
  </si>
  <si>
    <t xml:space="preserve">Sum of levers with data (check overlaps — see Read Me, Rule 4)</t>
  </si>
  <si>
    <t xml:space="preserve">Levers reported as 'Baseline required' are excluded from totals.</t>
  </si>
  <si>
    <t xml:space="preserve">Revenue creation (gross potential, EGP)</t>
  </si>
  <si>
    <t xml:space="preserve">ICU Respiratory Management Package = commercial assumption, subject to Elite Finance, payer and contract validation. Gross potential revenue — not profit.</t>
  </si>
  <si>
    <t xml:space="preserve">Days per month</t>
  </si>
  <si>
    <t xml:space="preserve">Assumption: 30-day month</t>
  </si>
  <si>
    <t xml:space="preserve">Days per year</t>
  </si>
  <si>
    <t xml:space="preserve">Assumption: 365-day year</t>
  </si>
  <si>
    <t xml:space="preserve">Package price per occupied ICU respiratory patient-day (EGP)</t>
  </si>
  <si>
    <t xml:space="preserve">Price scenarios →</t>
  </si>
  <si>
    <t xml:space="preserve">Occupancy scenarios</t>
  </si>
  <si>
    <t xml:space="preserve">Daily gross potential (EGP / day)</t>
  </si>
  <si>
    <t xml:space="preserve">Occupancy</t>
  </si>
  <si>
    <t xml:space="preserve">Occupied beds</t>
  </si>
  <si>
    <t xml:space="preserve">Monthly gross potential (EGP / month)</t>
  </si>
  <si>
    <t xml:space="preserve">Annual gross potential (EGP / year)</t>
  </si>
  <si>
    <t xml:space="preserve">Other revenue streams (Elite inputs — leave blank until priced)</t>
  </si>
  <si>
    <t xml:space="preserve">Stream</t>
  </si>
  <si>
    <t xml:space="preserve">Volume / yr</t>
  </si>
  <si>
    <t xml:space="preserve">Price (EGP)</t>
  </si>
  <si>
    <t xml:space="preserve">Gross / yr (EGP)</t>
  </si>
  <si>
    <t xml:space="preserve">Formula</t>
  </si>
  <si>
    <t xml:space="preserve">Pulmonary Function Testing</t>
  </si>
  <si>
    <t xml:space="preserve">Tests a year × Elite PFT tariff</t>
  </si>
  <si>
    <t xml:space="preserve">Education Center</t>
  </si>
  <si>
    <t xml:space="preserve">Participants × course fee</t>
  </si>
  <si>
    <t xml:space="preserve">Future clinical programs</t>
  </si>
  <si>
    <t xml:space="preserve">Enrolled patients × program fee</t>
  </si>
  <si>
    <t xml:space="preserve">Contribution margin — ICU package (selected scenario on 'Value Bridge')</t>
  </si>
  <si>
    <t xml:space="preserve">Gross ICU package revenue (selected scenario)</t>
  </si>
  <si>
    <t xml:space="preserve">RT salaries</t>
  </si>
  <si>
    <t xml:space="preserve">Supervisor / lead salaries</t>
  </si>
  <si>
    <t xml:space="preserve">Clinical education</t>
  </si>
  <si>
    <t xml:space="preserve">Consumables (incremental)</t>
  </si>
  <si>
    <t xml:space="preserve">Equipment depreciation</t>
  </si>
  <si>
    <t xml:space="preserve">Maintenance</t>
  </si>
  <si>
    <t xml:space="preserve">Documentation / technology</t>
  </si>
  <si>
    <t xml:space="preserve">Training</t>
  </si>
  <si>
    <t xml:space="preserve">Admin / management overhead</t>
  </si>
  <si>
    <t xml:space="preserve">Supply chain / logistics</t>
  </si>
  <si>
    <t xml:space="preserve">Total RT operating cost</t>
  </si>
  <si>
    <t xml:space="preserve">Contribution margin</t>
  </si>
  <si>
    <t xml:space="preserve">Hospital financial value bridge (EGP / year)</t>
  </si>
  <si>
    <t xml:space="preserve">Gross revenue − RT operating cost + cost avoided = net respiratory service-line value. Steps without Elite data are excluded and flagged.</t>
  </si>
  <si>
    <t xml:space="preserve">Selected occupancy</t>
  </si>
  <si>
    <t xml:space="preserve">Use the dropdowns (blue). Elite actual occupancy can replace this once known.</t>
  </si>
  <si>
    <t xml:space="preserve">Selected package price (EGP / patient-day)</t>
  </si>
  <si>
    <t xml:space="preserve">Selected savings scenario</t>
  </si>
  <si>
    <t xml:space="preserve">Bridge step</t>
  </si>
  <si>
    <t xml:space="preserve">Type</t>
  </si>
  <si>
    <t xml:space="preserve">EGP / year</t>
  </si>
  <si>
    <t xml:space="preserve">ICU package revenue (gross)</t>
  </si>
  <si>
    <t xml:space="preserve">Revenue</t>
  </si>
  <si>
    <t xml:space="preserve">PFT revenue</t>
  </si>
  <si>
    <t xml:space="preserve">Education revenue</t>
  </si>
  <si>
    <t xml:space="preserve">Billing leakage recovery</t>
  </si>
  <si>
    <t xml:space="preserve">RT service operating cost</t>
  </si>
  <si>
    <t xml:space="preserve">Cost</t>
  </si>
  <si>
    <t xml:space="preserve">Cost avoidance</t>
  </si>
  <si>
    <t xml:space="preserve">Gross revenue (calculated streams)</t>
  </si>
  <si>
    <t xml:space="preserve">Cost avoidance (calculated levers)</t>
  </si>
  <si>
    <t xml:space="preserve">RT operating cost</t>
  </si>
  <si>
    <t xml:space="preserve">Net respiratory service-line value</t>
  </si>
  <si>
    <t xml:space="preserve">Shows a value only once RT operating cost is entered — gross revenue alone is not value.</t>
  </si>
  <si>
    <t xml:space="preserve">Check: ICU package revenue at 80% occupancy and EGP 1,000 should equal Revenue!D34 (EGP 14,600,000).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</si>
</sst>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0.0"/>
    <numFmt numFmtId="168" formatCode="&quot;EGP &quot;#,##0"/>
    <numFmt numFmtId="169" formatCode="0%"/>
    <numFmt numFmtId="170" formatCode="0"/>
    <numFmt numFmtId="171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340"/>
      <name val="Arial"/>
      <family val="0"/>
      <charset val="1"/>
    </font>
    <font>
      <i val="true"/>
      <sz val="10"/>
      <color rgb="FF5E6B78"/>
      <name val="Arial"/>
      <family val="0"/>
      <charset val="1"/>
    </font>
    <font>
      <b val="true"/>
      <sz val="10"/>
      <color rgb="FF0F234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F2340"/>
      <name val="Arial"/>
      <family val="0"/>
      <charset val="1"/>
    </font>
    <font>
      <sz val="10"/>
      <color rgb="FF5E6B7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2678C"/>
      <name val="Arial"/>
      <family val="0"/>
      <charset val="1"/>
    </font>
    <font>
      <b val="true"/>
      <sz val="10"/>
      <color rgb="FF5E6B78"/>
      <name val="Arial"/>
      <family val="0"/>
      <charset val="1"/>
    </font>
    <font>
      <b val="true"/>
      <sz val="10"/>
      <color rgb="FFB85F12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F2340"/>
        <bgColor rgb="FF333333"/>
      </patternFill>
    </fill>
    <fill>
      <patternFill patternType="solid">
        <fgColor rgb="FFE3EEF1"/>
        <bgColor rgb="FFFCE9D8"/>
      </patternFill>
    </fill>
    <fill>
      <patternFill patternType="solid">
        <fgColor rgb="FFFCE9D8"/>
        <bgColor rgb="FFFFF2CC"/>
      </patternFill>
    </fill>
    <fill>
      <patternFill patternType="solid">
        <fgColor rgb="FFFFF2CC"/>
        <bgColor rgb="FFFCE9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8"/>
      </left>
      <right style="thin">
        <color rgb="FFC9D1D8"/>
      </right>
      <top style="thin">
        <color rgb="FFC9D1D8"/>
      </top>
      <bottom style="thin">
        <color rgb="FFC9D1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678C"/>
      <rgbColor rgb="FFC0C0C0"/>
      <rgbColor rgb="FF808080"/>
      <rgbColor rgb="FF9999FF"/>
      <rgbColor rgb="FF993366"/>
      <rgbColor rgb="FFFFF2CC"/>
      <rgbColor rgb="FFE3EEF1"/>
      <rgbColor rgb="FF660066"/>
      <rgbColor rgb="FFFF8080"/>
      <rgbColor rgb="FF0066CC"/>
      <rgbColor rgb="FFC9D1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9D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B78"/>
      <rgbColor rgb="FF969696"/>
      <rgbColor rgb="FF0F2340"/>
      <rgbColor rgb="FF339966"/>
      <rgbColor rgb="FF003300"/>
      <rgbColor rgb="FF333300"/>
      <rgbColor rgb="FFB85F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6" t="s">
        <v>8</v>
      </c>
      <c r="B7" s="4" t="s">
        <v>9</v>
      </c>
    </row>
    <row r="8" customFormat="false" ht="15" hidden="false" customHeight="false" outlineLevel="0" collapsed="false">
      <c r="A8" s="7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8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23.8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  <c r="B16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</row>
    <row r="5" customFormat="false" ht="15" hidden="false" customHeight="false" outlineLevel="0" collapsed="false">
      <c r="A5" s="10" t="s">
        <v>35</v>
      </c>
      <c r="B5" s="11"/>
      <c r="C5" s="11"/>
      <c r="D5" s="11"/>
      <c r="E5" s="11"/>
    </row>
    <row r="6" customFormat="false" ht="15" hidden="false" customHeight="false" outlineLevel="0" collapsed="false">
      <c r="A6" s="12" t="s">
        <v>36</v>
      </c>
      <c r="B6" s="13" t="s">
        <v>37</v>
      </c>
      <c r="C6" s="14" t="n">
        <v>50</v>
      </c>
      <c r="D6" s="13" t="s">
        <v>38</v>
      </c>
      <c r="E6" s="2" t="s">
        <v>39</v>
      </c>
    </row>
    <row r="7" customFormat="false" ht="15" hidden="false" customHeight="false" outlineLevel="0" collapsed="false">
      <c r="A7" s="12" t="s">
        <v>40</v>
      </c>
      <c r="B7" s="13" t="s">
        <v>41</v>
      </c>
      <c r="C7" s="15"/>
      <c r="D7" s="13" t="s">
        <v>42</v>
      </c>
      <c r="E7" s="2" t="s">
        <v>43</v>
      </c>
    </row>
    <row r="8" customFormat="false" ht="15" hidden="false" customHeight="false" outlineLevel="0" collapsed="false">
      <c r="A8" s="12" t="s">
        <v>44</v>
      </c>
      <c r="B8" s="13" t="s">
        <v>45</v>
      </c>
      <c r="C8" s="16"/>
      <c r="D8" s="13" t="s">
        <v>46</v>
      </c>
      <c r="E8" s="2" t="s">
        <v>47</v>
      </c>
    </row>
    <row r="9" customFormat="false" ht="15" hidden="false" customHeight="false" outlineLevel="0" collapsed="false">
      <c r="A9" s="12" t="s">
        <v>48</v>
      </c>
      <c r="B9" s="13" t="s">
        <v>49</v>
      </c>
      <c r="C9" s="17"/>
      <c r="D9" s="13" t="s">
        <v>46</v>
      </c>
      <c r="E9" s="2" t="s">
        <v>50</v>
      </c>
    </row>
    <row r="10" customFormat="false" ht="15" hidden="false" customHeight="false" outlineLevel="0" collapsed="false">
      <c r="A10" s="12" t="s">
        <v>51</v>
      </c>
      <c r="B10" s="13" t="s">
        <v>45</v>
      </c>
      <c r="C10" s="16"/>
      <c r="D10" s="13" t="s">
        <v>46</v>
      </c>
      <c r="E10" s="2" t="s">
        <v>52</v>
      </c>
    </row>
    <row r="11" customFormat="false" ht="15" hidden="false" customHeight="false" outlineLevel="0" collapsed="false">
      <c r="A11" s="12" t="s">
        <v>53</v>
      </c>
      <c r="B11" s="13" t="s">
        <v>45</v>
      </c>
      <c r="C11" s="16"/>
      <c r="D11" s="13" t="s">
        <v>46</v>
      </c>
      <c r="E11" s="2" t="s">
        <v>54</v>
      </c>
    </row>
    <row r="12" customFormat="false" ht="15" hidden="false" customHeight="false" outlineLevel="0" collapsed="false">
      <c r="A12" s="12" t="s">
        <v>55</v>
      </c>
      <c r="B12" s="13" t="s">
        <v>56</v>
      </c>
      <c r="C12" s="16"/>
      <c r="D12" s="13" t="s">
        <v>57</v>
      </c>
      <c r="E12" s="2" t="s">
        <v>58</v>
      </c>
    </row>
    <row r="13" customFormat="false" ht="15" hidden="false" customHeight="false" outlineLevel="0" collapsed="false">
      <c r="A13" s="10" t="s">
        <v>59</v>
      </c>
      <c r="B13" s="11"/>
      <c r="C13" s="11"/>
      <c r="D13" s="11"/>
      <c r="E13" s="11"/>
    </row>
    <row r="14" customFormat="false" ht="15" hidden="false" customHeight="false" outlineLevel="0" collapsed="false">
      <c r="A14" s="12" t="s">
        <v>60</v>
      </c>
      <c r="B14" s="13" t="s">
        <v>61</v>
      </c>
      <c r="C14" s="16"/>
      <c r="D14" s="13" t="s">
        <v>62</v>
      </c>
      <c r="E14" s="2" t="s">
        <v>63</v>
      </c>
    </row>
    <row r="15" customFormat="false" ht="15" hidden="false" customHeight="false" outlineLevel="0" collapsed="false">
      <c r="A15" s="12" t="s">
        <v>64</v>
      </c>
      <c r="B15" s="13" t="s">
        <v>61</v>
      </c>
      <c r="C15" s="16"/>
      <c r="D15" s="13" t="s">
        <v>62</v>
      </c>
      <c r="E15" s="2" t="s">
        <v>65</v>
      </c>
    </row>
    <row r="16" customFormat="false" ht="15" hidden="false" customHeight="false" outlineLevel="0" collapsed="false">
      <c r="A16" s="12" t="s">
        <v>66</v>
      </c>
      <c r="B16" s="13" t="s">
        <v>61</v>
      </c>
      <c r="C16" s="16"/>
      <c r="D16" s="13" t="s">
        <v>62</v>
      </c>
      <c r="E16" s="2" t="s">
        <v>67</v>
      </c>
    </row>
    <row r="17" customFormat="false" ht="15" hidden="false" customHeight="false" outlineLevel="0" collapsed="false">
      <c r="A17" s="10" t="s">
        <v>68</v>
      </c>
      <c r="B17" s="11"/>
      <c r="C17" s="11"/>
      <c r="D17" s="11"/>
      <c r="E17" s="11"/>
    </row>
    <row r="18" customFormat="false" ht="15" hidden="false" customHeight="false" outlineLevel="0" collapsed="false">
      <c r="A18" s="12" t="s">
        <v>69</v>
      </c>
      <c r="B18" s="13" t="s">
        <v>70</v>
      </c>
      <c r="C18" s="16"/>
      <c r="D18" s="13" t="s">
        <v>62</v>
      </c>
      <c r="E18" s="2" t="s">
        <v>71</v>
      </c>
    </row>
    <row r="19" customFormat="false" ht="15" hidden="false" customHeight="false" outlineLevel="0" collapsed="false">
      <c r="A19" s="12" t="s">
        <v>72</v>
      </c>
      <c r="B19" s="13" t="s">
        <v>70</v>
      </c>
      <c r="C19" s="16"/>
      <c r="D19" s="13" t="s">
        <v>62</v>
      </c>
      <c r="E19" s="2" t="s">
        <v>73</v>
      </c>
    </row>
    <row r="20" customFormat="false" ht="15" hidden="false" customHeight="false" outlineLevel="0" collapsed="false">
      <c r="A20" s="12" t="s">
        <v>74</v>
      </c>
      <c r="B20" s="13" t="s">
        <v>70</v>
      </c>
      <c r="C20" s="16"/>
      <c r="D20" s="13" t="s">
        <v>75</v>
      </c>
      <c r="E20" s="2" t="s">
        <v>76</v>
      </c>
    </row>
    <row r="21" customFormat="false" ht="15" hidden="false" customHeight="false" outlineLevel="0" collapsed="false">
      <c r="A21" s="12" t="s">
        <v>77</v>
      </c>
      <c r="B21" s="13" t="s">
        <v>70</v>
      </c>
      <c r="C21" s="16"/>
      <c r="D21" s="13" t="s">
        <v>75</v>
      </c>
      <c r="E21" s="2" t="s">
        <v>78</v>
      </c>
    </row>
    <row r="22" customFormat="false" ht="15" hidden="false" customHeight="false" outlineLevel="0" collapsed="false">
      <c r="A22" s="12" t="s">
        <v>79</v>
      </c>
      <c r="B22" s="13" t="s">
        <v>70</v>
      </c>
      <c r="C22" s="16"/>
      <c r="D22" s="13" t="s">
        <v>75</v>
      </c>
      <c r="E22" s="2" t="s">
        <v>80</v>
      </c>
    </row>
    <row r="23" customFormat="false" ht="15" hidden="false" customHeight="false" outlineLevel="0" collapsed="false">
      <c r="A23" s="12" t="s">
        <v>81</v>
      </c>
      <c r="B23" s="13" t="s">
        <v>70</v>
      </c>
      <c r="C23" s="16"/>
      <c r="D23" s="13" t="s">
        <v>82</v>
      </c>
      <c r="E23" s="2" t="s">
        <v>83</v>
      </c>
    </row>
    <row r="24" customFormat="false" ht="15" hidden="false" customHeight="false" outlineLevel="0" collapsed="false">
      <c r="A24" s="12" t="s">
        <v>84</v>
      </c>
      <c r="B24" s="13" t="s">
        <v>70</v>
      </c>
      <c r="C24" s="16"/>
      <c r="D24" s="13" t="s">
        <v>82</v>
      </c>
      <c r="E24" s="2"/>
    </row>
    <row r="25" customFormat="false" ht="15" hidden="false" customHeight="false" outlineLevel="0" collapsed="false">
      <c r="A25" s="12" t="s">
        <v>85</v>
      </c>
      <c r="B25" s="13" t="s">
        <v>70</v>
      </c>
      <c r="C25" s="16"/>
      <c r="D25" s="13" t="s">
        <v>62</v>
      </c>
      <c r="E25" s="2" t="s">
        <v>76</v>
      </c>
    </row>
    <row r="26" customFormat="false" ht="15" hidden="false" customHeight="false" outlineLevel="0" collapsed="false">
      <c r="A26" s="12" t="s">
        <v>86</v>
      </c>
      <c r="B26" s="13" t="s">
        <v>70</v>
      </c>
      <c r="C26" s="16"/>
      <c r="D26" s="13" t="s">
        <v>62</v>
      </c>
      <c r="E26" s="2" t="s">
        <v>76</v>
      </c>
    </row>
    <row r="27" customFormat="false" ht="15" hidden="false" customHeight="false" outlineLevel="0" collapsed="false">
      <c r="A27" s="10" t="s">
        <v>87</v>
      </c>
      <c r="B27" s="11"/>
      <c r="C27" s="11"/>
      <c r="D27" s="11"/>
      <c r="E27" s="11"/>
    </row>
    <row r="28" customFormat="false" ht="15" hidden="false" customHeight="false" outlineLevel="0" collapsed="false">
      <c r="A28" s="12" t="s">
        <v>88</v>
      </c>
      <c r="B28" s="13" t="s">
        <v>89</v>
      </c>
      <c r="C28" s="16"/>
      <c r="D28" s="13" t="s">
        <v>57</v>
      </c>
      <c r="E28" s="2"/>
    </row>
    <row r="29" customFormat="false" ht="15" hidden="false" customHeight="false" outlineLevel="0" collapsed="false">
      <c r="A29" s="12" t="s">
        <v>90</v>
      </c>
      <c r="B29" s="13" t="s">
        <v>89</v>
      </c>
      <c r="C29" s="16"/>
      <c r="D29" s="13" t="s">
        <v>57</v>
      </c>
      <c r="E29" s="2"/>
    </row>
    <row r="30" customFormat="false" ht="15" hidden="false" customHeight="false" outlineLevel="0" collapsed="false">
      <c r="A30" s="12" t="s">
        <v>91</v>
      </c>
      <c r="B30" s="13" t="s">
        <v>89</v>
      </c>
      <c r="C30" s="16"/>
      <c r="D30" s="13" t="s">
        <v>57</v>
      </c>
      <c r="E30" s="2"/>
    </row>
    <row r="31" customFormat="false" ht="15" hidden="false" customHeight="false" outlineLevel="0" collapsed="false">
      <c r="A31" s="12" t="s">
        <v>92</v>
      </c>
      <c r="B31" s="13" t="s">
        <v>89</v>
      </c>
      <c r="C31" s="16"/>
      <c r="D31" s="13" t="s">
        <v>57</v>
      </c>
      <c r="E31" s="2"/>
    </row>
    <row r="32" customFormat="false" ht="15" hidden="false" customHeight="false" outlineLevel="0" collapsed="false">
      <c r="A32" s="12" t="s">
        <v>93</v>
      </c>
      <c r="B32" s="13" t="s">
        <v>89</v>
      </c>
      <c r="C32" s="16"/>
      <c r="D32" s="13" t="s">
        <v>57</v>
      </c>
      <c r="E32" s="2"/>
    </row>
    <row r="33" customFormat="false" ht="15" hidden="false" customHeight="false" outlineLevel="0" collapsed="false">
      <c r="A33" s="12" t="s">
        <v>94</v>
      </c>
      <c r="B33" s="13" t="s">
        <v>95</v>
      </c>
      <c r="C33" s="16"/>
      <c r="D33" s="13" t="s">
        <v>75</v>
      </c>
      <c r="E33" s="2" t="s">
        <v>96</v>
      </c>
    </row>
    <row r="34" customFormat="false" ht="15" hidden="false" customHeight="false" outlineLevel="0" collapsed="false">
      <c r="A34" s="12" t="s">
        <v>97</v>
      </c>
      <c r="B34" s="13" t="s">
        <v>41</v>
      </c>
      <c r="C34" s="15"/>
      <c r="D34" s="13" t="s">
        <v>75</v>
      </c>
      <c r="E34" s="2" t="s">
        <v>98</v>
      </c>
    </row>
    <row r="35" customFormat="false" ht="15" hidden="false" customHeight="false" outlineLevel="0" collapsed="false">
      <c r="A35" s="10" t="s">
        <v>99</v>
      </c>
      <c r="B35" s="11"/>
      <c r="C35" s="11"/>
      <c r="D35" s="11"/>
      <c r="E35" s="11"/>
    </row>
    <row r="36" customFormat="false" ht="15" hidden="false" customHeight="false" outlineLevel="0" collapsed="false">
      <c r="A36" s="12" t="s">
        <v>100</v>
      </c>
      <c r="B36" s="13" t="s">
        <v>101</v>
      </c>
      <c r="C36" s="16"/>
      <c r="D36" s="13" t="s">
        <v>102</v>
      </c>
      <c r="E36" s="2" t="s">
        <v>103</v>
      </c>
    </row>
    <row r="37" customFormat="false" ht="15" hidden="false" customHeight="false" outlineLevel="0" collapsed="false">
      <c r="A37" s="12" t="s">
        <v>104</v>
      </c>
      <c r="B37" s="13" t="s">
        <v>101</v>
      </c>
      <c r="C37" s="16"/>
      <c r="D37" s="13" t="s">
        <v>102</v>
      </c>
      <c r="E37" s="2" t="s">
        <v>105</v>
      </c>
    </row>
    <row r="38" customFormat="false" ht="15" hidden="false" customHeight="false" outlineLevel="0" collapsed="false">
      <c r="A38" s="12" t="s">
        <v>106</v>
      </c>
      <c r="B38" s="13" t="s">
        <v>61</v>
      </c>
      <c r="C38" s="16"/>
      <c r="D38" s="13" t="s">
        <v>102</v>
      </c>
      <c r="E38" s="2"/>
    </row>
    <row r="39" customFormat="false" ht="15" hidden="false" customHeight="false" outlineLevel="0" collapsed="false">
      <c r="A39" s="12" t="s">
        <v>107</v>
      </c>
      <c r="B39" s="13" t="s">
        <v>41</v>
      </c>
      <c r="C39" s="15"/>
      <c r="D39" s="13" t="s">
        <v>62</v>
      </c>
      <c r="E39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  <col collapsed="false" customWidth="true" hidden="false" outlineLevel="0" max="3" min="3" style="0" width="20"/>
    <col collapsed="false" customWidth="true" hidden="false" outlineLevel="0" max="6" min="4" style="0" width="16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111</v>
      </c>
      <c r="D4" s="18" t="s">
        <v>112</v>
      </c>
      <c r="E4" s="18" t="s">
        <v>113</v>
      </c>
      <c r="F4" s="18" t="s">
        <v>114</v>
      </c>
    </row>
    <row r="5" customFormat="false" ht="15" hidden="false" customHeight="false" outlineLevel="0" collapsed="false">
      <c r="A5" s="2" t="s">
        <v>115</v>
      </c>
      <c r="D5" s="19" t="n">
        <v>0.05</v>
      </c>
      <c r="E5" s="19" t="n">
        <v>0.1</v>
      </c>
      <c r="F5" s="19" t="n">
        <v>0.15</v>
      </c>
    </row>
    <row r="7" customFormat="false" ht="15" hidden="false" customHeight="false" outlineLevel="0" collapsed="false">
      <c r="A7" s="9" t="s">
        <v>116</v>
      </c>
      <c r="B7" s="9" t="s">
        <v>117</v>
      </c>
      <c r="C7" s="9" t="s">
        <v>118</v>
      </c>
      <c r="D7" s="9" t="s">
        <v>112</v>
      </c>
      <c r="E7" s="9" t="s">
        <v>113</v>
      </c>
      <c r="F7" s="9" t="s">
        <v>114</v>
      </c>
    </row>
    <row r="8" customFormat="false" ht="15" hidden="false" customHeight="false" outlineLevel="0" collapsed="false">
      <c r="A8" s="20" t="s">
        <v>119</v>
      </c>
      <c r="B8" s="21" t="s">
        <v>120</v>
      </c>
      <c r="C8" s="22" t="str">
        <f aca="false">IF(OR(Inputs!$C$8="",Inputs!$C$14=""),"",Inputs!$C$8*Inputs!$C$14)</f>
        <v/>
      </c>
      <c r="D8" s="23" t="str">
        <f aca="false">IF(C8="","Baseline required",C8*D$5)</f>
        <v>Baseline required</v>
      </c>
      <c r="E8" s="23" t="str">
        <f aca="false">IF(C8="","Baseline required",C8*E$5)</f>
        <v>Baseline required</v>
      </c>
      <c r="F8" s="23" t="str">
        <f aca="false">IF(C8="","Baseline required",C8*F$5)</f>
        <v>Baseline required</v>
      </c>
    </row>
    <row r="9" customFormat="false" ht="15" hidden="false" customHeight="false" outlineLevel="0" collapsed="false">
      <c r="A9" s="20" t="s">
        <v>121</v>
      </c>
      <c r="B9" s="21" t="s">
        <v>122</v>
      </c>
      <c r="C9" s="22" t="str">
        <f aca="false">IF(AND(OR(Inputs!$C$10="",Inputs!$C$15=""),OR(Inputs!$C$11="",Inputs!$C$16="")),"",N(Inputs!$C$10)*N(Inputs!$C$15)+N(Inputs!$C$11)*N(Inputs!$C$16))</f>
        <v/>
      </c>
      <c r="D9" s="23" t="str">
        <f aca="false">IF(C9="","Baseline required",C9*D$5)</f>
        <v>Baseline required</v>
      </c>
      <c r="E9" s="23" t="str">
        <f aca="false">IF(C9="","Baseline required",C9*E$5)</f>
        <v>Baseline required</v>
      </c>
      <c r="F9" s="23" t="str">
        <f aca="false">IF(C9="","Baseline required",C9*F$5)</f>
        <v>Baseline required</v>
      </c>
    </row>
    <row r="10" customFormat="false" ht="15" hidden="false" customHeight="false" outlineLevel="0" collapsed="false">
      <c r="A10" s="20" t="s">
        <v>123</v>
      </c>
      <c r="B10" s="21" t="s">
        <v>124</v>
      </c>
      <c r="C10" s="22" t="str">
        <f aca="false">IF(Inputs!$C$18="","",Inputs!$C$18)</f>
        <v/>
      </c>
      <c r="D10" s="23" t="str">
        <f aca="false">IF(C10="","Baseline required",C10*D$5)</f>
        <v>Baseline required</v>
      </c>
      <c r="E10" s="23" t="str">
        <f aca="false">IF(C10="","Baseline required",C10*E$5)</f>
        <v>Baseline required</v>
      </c>
      <c r="F10" s="23" t="str">
        <f aca="false">IF(C10="","Baseline required",C10*F$5)</f>
        <v>Baseline required</v>
      </c>
    </row>
    <row r="11" customFormat="false" ht="15" hidden="false" customHeight="false" outlineLevel="0" collapsed="false">
      <c r="A11" s="20" t="s">
        <v>125</v>
      </c>
      <c r="B11" s="21" t="s">
        <v>126</v>
      </c>
      <c r="C11" s="22" t="str">
        <f aca="false">IF(Inputs!$C$19="","",Inputs!$C$19)</f>
        <v/>
      </c>
      <c r="D11" s="23" t="str">
        <f aca="false">IF(C11="","Baseline required",C11*D$5)</f>
        <v>Baseline required</v>
      </c>
      <c r="E11" s="23" t="str">
        <f aca="false">IF(C11="","Baseline required",C11*E$5)</f>
        <v>Baseline required</v>
      </c>
      <c r="F11" s="23" t="str">
        <f aca="false">IF(C11="","Baseline required",C11*F$5)</f>
        <v>Baseline required</v>
      </c>
    </row>
    <row r="12" customFormat="false" ht="15" hidden="false" customHeight="false" outlineLevel="0" collapsed="false">
      <c r="A12" s="20" t="s">
        <v>127</v>
      </c>
      <c r="B12" s="21" t="s">
        <v>128</v>
      </c>
      <c r="C12" s="22" t="str">
        <f aca="false">IF(COUNT(Inputs!$C$20,Inputs!$C$21,Inputs!$C$22)=0,"",SUM(Inputs!$C$20,Inputs!$C$21,Inputs!$C$22))</f>
        <v/>
      </c>
      <c r="D12" s="23" t="str">
        <f aca="false">IF(C12="","Baseline required",C12*D$5)</f>
        <v>Baseline required</v>
      </c>
      <c r="E12" s="23" t="str">
        <f aca="false">IF(C12="","Baseline required",C12*E$5)</f>
        <v>Baseline required</v>
      </c>
      <c r="F12" s="23" t="str">
        <f aca="false">IF(C12="","Baseline required",C12*F$5)</f>
        <v>Baseline required</v>
      </c>
    </row>
    <row r="13" customFormat="false" ht="15" hidden="false" customHeight="false" outlineLevel="0" collapsed="false">
      <c r="A13" s="20" t="s">
        <v>129</v>
      </c>
      <c r="B13" s="21" t="s">
        <v>130</v>
      </c>
      <c r="C13" s="22" t="str">
        <f aca="false">IF(COUNT(Inputs!$C$24,Inputs!$C$25,Inputs!$C$26)=0,"",SUM(Inputs!$C$24,Inputs!$C$25,Inputs!$C$26))</f>
        <v/>
      </c>
      <c r="D13" s="23" t="str">
        <f aca="false">IF(C13="","Baseline required",C13*D$5)</f>
        <v>Baseline required</v>
      </c>
      <c r="E13" s="23" t="str">
        <f aca="false">IF(C13="","Baseline required",C13*E$5)</f>
        <v>Baseline required</v>
      </c>
      <c r="F13" s="23" t="str">
        <f aca="false">IF(C13="","Baseline required",C13*F$5)</f>
        <v>Baseline required</v>
      </c>
    </row>
    <row r="14" customFormat="false" ht="15" hidden="false" customHeight="false" outlineLevel="0" collapsed="false">
      <c r="A14" s="24" t="s">
        <v>131</v>
      </c>
      <c r="B14" s="25" t="s">
        <v>132</v>
      </c>
      <c r="C14" s="26" t="str">
        <f aca="false">IF(COUNT(C8:C13)=0,"Baseline required",SUM(C8:C13))</f>
        <v>Baseline required</v>
      </c>
      <c r="D14" s="27" t="str">
        <f aca="false">IF(COUNT(D8:D13)=0,"Baseline required",SUM(D8:D13))</f>
        <v>Baseline required</v>
      </c>
      <c r="E14" s="27" t="str">
        <f aca="false">IF(COUNT(E8:E13)=0,"Baseline required",SUM(E8:E13))</f>
        <v>Baseline required</v>
      </c>
      <c r="F14" s="27" t="str">
        <f aca="false">IF(COUNT(F8:F13)=0,"Baseline required",SUM(F8:F13))</f>
        <v>Baseline required</v>
      </c>
    </row>
    <row r="16" customFormat="false" ht="15" hidden="false" customHeight="false" outlineLevel="0" collapsed="false">
      <c r="A16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34"/>
  </cols>
  <sheetData>
    <row r="1" customFormat="false" ht="19.7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3" t="s">
        <v>36</v>
      </c>
      <c r="B4" s="28" t="n">
        <f aca="false">Inputs!$C$6</f>
        <v>50</v>
      </c>
    </row>
    <row r="5" customFormat="false" ht="15" hidden="false" customHeight="false" outlineLevel="0" collapsed="false">
      <c r="A5" s="3" t="s">
        <v>136</v>
      </c>
      <c r="B5" s="29" t="n">
        <v>30</v>
      </c>
      <c r="C5" s="2" t="s">
        <v>137</v>
      </c>
    </row>
    <row r="6" customFormat="false" ht="15" hidden="false" customHeight="false" outlineLevel="0" collapsed="false">
      <c r="A6" s="3" t="s">
        <v>138</v>
      </c>
      <c r="B6" s="29" t="n">
        <v>365</v>
      </c>
      <c r="C6" s="2" t="s">
        <v>139</v>
      </c>
    </row>
    <row r="8" customFormat="false" ht="15" hidden="false" customHeight="false" outlineLevel="0" collapsed="false">
      <c r="A8" s="3" t="s">
        <v>140</v>
      </c>
    </row>
    <row r="9" customFormat="false" ht="15" hidden="false" customHeight="false" outlineLevel="0" collapsed="false">
      <c r="B9" s="2" t="s">
        <v>141</v>
      </c>
      <c r="C9" s="30" t="n">
        <v>800</v>
      </c>
      <c r="D9" s="30" t="n">
        <v>1000</v>
      </c>
      <c r="E9" s="30" t="n">
        <v>1200</v>
      </c>
    </row>
    <row r="10" customFormat="false" ht="15" hidden="false" customHeight="false" outlineLevel="0" collapsed="false">
      <c r="A10" s="3" t="s">
        <v>142</v>
      </c>
    </row>
    <row r="11" customFormat="false" ht="15" hidden="false" customHeight="false" outlineLevel="0" collapsed="false">
      <c r="A11" s="31" t="n">
        <v>0.6</v>
      </c>
    </row>
    <row r="12" customFormat="false" ht="15" hidden="false" customHeight="false" outlineLevel="0" collapsed="false">
      <c r="A12" s="31" t="n">
        <v>0.7</v>
      </c>
    </row>
    <row r="13" customFormat="false" ht="15" hidden="false" customHeight="false" outlineLevel="0" collapsed="false">
      <c r="A13" s="31" t="n">
        <v>0.8</v>
      </c>
    </row>
    <row r="14" customFormat="false" ht="15" hidden="false" customHeight="false" outlineLevel="0" collapsed="false">
      <c r="A14" s="31" t="n">
        <v>0.9</v>
      </c>
    </row>
    <row r="16" customFormat="false" ht="15" hidden="false" customHeight="false" outlineLevel="0" collapsed="false">
      <c r="A16" s="10" t="s">
        <v>143</v>
      </c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32" t="s">
        <v>144</v>
      </c>
      <c r="B17" s="32" t="s">
        <v>145</v>
      </c>
      <c r="C17" s="33" t="n">
        <f aca="false">C$9</f>
        <v>800</v>
      </c>
      <c r="D17" s="33" t="n">
        <f aca="false">D$9</f>
        <v>1000</v>
      </c>
      <c r="E17" s="33" t="n">
        <f aca="false">E$9</f>
        <v>1200</v>
      </c>
      <c r="F17" s="34"/>
    </row>
    <row r="18" customFormat="false" ht="15" hidden="false" customHeight="false" outlineLevel="0" collapsed="false">
      <c r="A18" s="35" t="n">
        <f aca="false">$A$11</f>
        <v>0.6</v>
      </c>
      <c r="B18" s="36" t="n">
        <f aca="false">$B$4*A18</f>
        <v>30</v>
      </c>
      <c r="C18" s="37" t="n">
        <f aca="false">$B18*C$9</f>
        <v>24000</v>
      </c>
      <c r="D18" s="37" t="n">
        <f aca="false">$B18*D$9</f>
        <v>30000</v>
      </c>
      <c r="E18" s="37" t="n">
        <f aca="false">$B18*E$9</f>
        <v>36000</v>
      </c>
    </row>
    <row r="19" customFormat="false" ht="15" hidden="false" customHeight="false" outlineLevel="0" collapsed="false">
      <c r="A19" s="35" t="n">
        <f aca="false">$A$12</f>
        <v>0.7</v>
      </c>
      <c r="B19" s="36" t="n">
        <f aca="false">$B$4*A19</f>
        <v>35</v>
      </c>
      <c r="C19" s="37" t="n">
        <f aca="false">$B19*C$9</f>
        <v>28000</v>
      </c>
      <c r="D19" s="37" t="n">
        <f aca="false">$B19*D$9</f>
        <v>35000</v>
      </c>
      <c r="E19" s="37" t="n">
        <f aca="false">$B19*E$9</f>
        <v>42000</v>
      </c>
    </row>
    <row r="20" customFormat="false" ht="15" hidden="false" customHeight="false" outlineLevel="0" collapsed="false">
      <c r="A20" s="35" t="n">
        <f aca="false">$A$13</f>
        <v>0.8</v>
      </c>
      <c r="B20" s="36" t="n">
        <f aca="false">$B$4*A20</f>
        <v>40</v>
      </c>
      <c r="C20" s="38" t="n">
        <f aca="false">$B20*C$9</f>
        <v>32000</v>
      </c>
      <c r="D20" s="38" t="n">
        <f aca="false">$B20*D$9</f>
        <v>40000</v>
      </c>
      <c r="E20" s="38" t="n">
        <f aca="false">$B20*E$9</f>
        <v>48000</v>
      </c>
    </row>
    <row r="21" customFormat="false" ht="15" hidden="false" customHeight="false" outlineLevel="0" collapsed="false">
      <c r="A21" s="35" t="n">
        <f aca="false">$A$14</f>
        <v>0.9</v>
      </c>
      <c r="B21" s="36" t="n">
        <f aca="false">$B$4*A21</f>
        <v>45</v>
      </c>
      <c r="C21" s="37" t="n">
        <f aca="false">$B21*C$9</f>
        <v>36000</v>
      </c>
      <c r="D21" s="37" t="n">
        <f aca="false">$B21*D$9</f>
        <v>45000</v>
      </c>
      <c r="E21" s="37" t="n">
        <f aca="false">$B21*E$9</f>
        <v>54000</v>
      </c>
    </row>
    <row r="23" customFormat="false" ht="15" hidden="false" customHeight="false" outlineLevel="0" collapsed="false">
      <c r="A23" s="10" t="s">
        <v>146</v>
      </c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32" t="s">
        <v>144</v>
      </c>
      <c r="B24" s="32" t="s">
        <v>145</v>
      </c>
      <c r="C24" s="33" t="n">
        <f aca="false">C$9</f>
        <v>800</v>
      </c>
      <c r="D24" s="33" t="n">
        <f aca="false">D$9</f>
        <v>1000</v>
      </c>
      <c r="E24" s="33" t="n">
        <f aca="false">E$9</f>
        <v>1200</v>
      </c>
      <c r="F24" s="34"/>
    </row>
    <row r="25" customFormat="false" ht="15" hidden="false" customHeight="false" outlineLevel="0" collapsed="false">
      <c r="A25" s="35" t="n">
        <f aca="false">$A$11</f>
        <v>0.6</v>
      </c>
      <c r="B25" s="36" t="n">
        <f aca="false">$B$4*A25</f>
        <v>30</v>
      </c>
      <c r="C25" s="37" t="n">
        <f aca="false">$B25*C$9*$B$5</f>
        <v>720000</v>
      </c>
      <c r="D25" s="37" t="n">
        <f aca="false">$B25*D$9*$B$5</f>
        <v>900000</v>
      </c>
      <c r="E25" s="37" t="n">
        <f aca="false">$B25*E$9*$B$5</f>
        <v>1080000</v>
      </c>
    </row>
    <row r="26" customFormat="false" ht="15" hidden="false" customHeight="false" outlineLevel="0" collapsed="false">
      <c r="A26" s="35" t="n">
        <f aca="false">$A$12</f>
        <v>0.7</v>
      </c>
      <c r="B26" s="36" t="n">
        <f aca="false">$B$4*A26</f>
        <v>35</v>
      </c>
      <c r="C26" s="37" t="n">
        <f aca="false">$B26*C$9*$B$5</f>
        <v>840000</v>
      </c>
      <c r="D26" s="37" t="n">
        <f aca="false">$B26*D$9*$B$5</f>
        <v>1050000</v>
      </c>
      <c r="E26" s="37" t="n">
        <f aca="false">$B26*E$9*$B$5</f>
        <v>1260000</v>
      </c>
    </row>
    <row r="27" customFormat="false" ht="15" hidden="false" customHeight="false" outlineLevel="0" collapsed="false">
      <c r="A27" s="35" t="n">
        <f aca="false">$A$13</f>
        <v>0.8</v>
      </c>
      <c r="B27" s="36" t="n">
        <f aca="false">$B$4*A27</f>
        <v>40</v>
      </c>
      <c r="C27" s="38" t="n">
        <f aca="false">$B27*C$9*$B$5</f>
        <v>960000</v>
      </c>
      <c r="D27" s="38" t="n">
        <f aca="false">$B27*D$9*$B$5</f>
        <v>1200000</v>
      </c>
      <c r="E27" s="38" t="n">
        <f aca="false">$B27*E$9*$B$5</f>
        <v>1440000</v>
      </c>
    </row>
    <row r="28" customFormat="false" ht="15" hidden="false" customHeight="false" outlineLevel="0" collapsed="false">
      <c r="A28" s="35" t="n">
        <f aca="false">$A$14</f>
        <v>0.9</v>
      </c>
      <c r="B28" s="36" t="n">
        <f aca="false">$B$4*A28</f>
        <v>45</v>
      </c>
      <c r="C28" s="37" t="n">
        <f aca="false">$B28*C$9*$B$5</f>
        <v>1080000</v>
      </c>
      <c r="D28" s="37" t="n">
        <f aca="false">$B28*D$9*$B$5</f>
        <v>1350000</v>
      </c>
      <c r="E28" s="37" t="n">
        <f aca="false">$B28*E$9*$B$5</f>
        <v>1620000</v>
      </c>
    </row>
    <row r="30" customFormat="false" ht="15" hidden="false" customHeight="false" outlineLevel="0" collapsed="false">
      <c r="A30" s="10" t="s">
        <v>147</v>
      </c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32" t="s">
        <v>144</v>
      </c>
      <c r="B31" s="32" t="s">
        <v>145</v>
      </c>
      <c r="C31" s="33" t="n">
        <f aca="false">C$9</f>
        <v>800</v>
      </c>
      <c r="D31" s="33" t="n">
        <f aca="false">D$9</f>
        <v>1000</v>
      </c>
      <c r="E31" s="33" t="n">
        <f aca="false">E$9</f>
        <v>1200</v>
      </c>
      <c r="F31" s="34"/>
    </row>
    <row r="32" customFormat="false" ht="15" hidden="false" customHeight="false" outlineLevel="0" collapsed="false">
      <c r="A32" s="35" t="n">
        <f aca="false">$A$11</f>
        <v>0.6</v>
      </c>
      <c r="B32" s="36" t="n">
        <f aca="false">$B$4*A32</f>
        <v>30</v>
      </c>
      <c r="C32" s="37" t="n">
        <f aca="false">$B32*C$9*$B$6</f>
        <v>8760000</v>
      </c>
      <c r="D32" s="37" t="n">
        <f aca="false">$B32*D$9*$B$6</f>
        <v>10950000</v>
      </c>
      <c r="E32" s="37" t="n">
        <f aca="false">$B32*E$9*$B$6</f>
        <v>13140000</v>
      </c>
    </row>
    <row r="33" customFormat="false" ht="15" hidden="false" customHeight="false" outlineLevel="0" collapsed="false">
      <c r="A33" s="35" t="n">
        <f aca="false">$A$12</f>
        <v>0.7</v>
      </c>
      <c r="B33" s="36" t="n">
        <f aca="false">$B$4*A33</f>
        <v>35</v>
      </c>
      <c r="C33" s="37" t="n">
        <f aca="false">$B33*C$9*$B$6</f>
        <v>10220000</v>
      </c>
      <c r="D33" s="37" t="n">
        <f aca="false">$B33*D$9*$B$6</f>
        <v>12775000</v>
      </c>
      <c r="E33" s="37" t="n">
        <f aca="false">$B33*E$9*$B$6</f>
        <v>15330000</v>
      </c>
    </row>
    <row r="34" customFormat="false" ht="15" hidden="false" customHeight="false" outlineLevel="0" collapsed="false">
      <c r="A34" s="35" t="n">
        <f aca="false">$A$13</f>
        <v>0.8</v>
      </c>
      <c r="B34" s="36" t="n">
        <f aca="false">$B$4*A34</f>
        <v>40</v>
      </c>
      <c r="C34" s="38" t="n">
        <f aca="false">$B34*C$9*$B$6</f>
        <v>11680000</v>
      </c>
      <c r="D34" s="38" t="n">
        <f aca="false">$B34*D$9*$B$6</f>
        <v>14600000</v>
      </c>
      <c r="E34" s="38" t="n">
        <f aca="false">$B34*E$9*$B$6</f>
        <v>17520000</v>
      </c>
    </row>
    <row r="35" customFormat="false" ht="15" hidden="false" customHeight="false" outlineLevel="0" collapsed="false">
      <c r="A35" s="35" t="n">
        <f aca="false">$A$14</f>
        <v>0.9</v>
      </c>
      <c r="B35" s="36" t="n">
        <f aca="false">$B$4*A35</f>
        <v>45</v>
      </c>
      <c r="C35" s="37" t="n">
        <f aca="false">$B35*C$9*$B$6</f>
        <v>13140000</v>
      </c>
      <c r="D35" s="37" t="n">
        <f aca="false">$B35*D$9*$B$6</f>
        <v>16425000</v>
      </c>
      <c r="E35" s="37" t="n">
        <f aca="false">$B35*E$9*$B$6</f>
        <v>19710000</v>
      </c>
    </row>
    <row r="37" customFormat="false" ht="15" hidden="false" customHeight="false" outlineLevel="0" collapsed="false">
      <c r="A37" s="10" t="s">
        <v>148</v>
      </c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32" t="s">
        <v>149</v>
      </c>
      <c r="B38" s="32" t="s">
        <v>150</v>
      </c>
      <c r="C38" s="32" t="s">
        <v>151</v>
      </c>
      <c r="D38" s="32" t="s">
        <v>152</v>
      </c>
      <c r="E38" s="32" t="s">
        <v>153</v>
      </c>
    </row>
    <row r="39" customFormat="false" ht="15" hidden="false" customHeight="false" outlineLevel="0" collapsed="false">
      <c r="A39" s="3" t="s">
        <v>154</v>
      </c>
      <c r="B39" s="39"/>
      <c r="C39" s="39"/>
      <c r="D39" s="40" t="str">
        <f aca="false">IF(OR(B39="",C39=""),"Scenario pending",B39*C39)</f>
        <v>Scenario pending</v>
      </c>
      <c r="E39" s="2" t="s">
        <v>155</v>
      </c>
    </row>
    <row r="40" customFormat="false" ht="15" hidden="false" customHeight="false" outlineLevel="0" collapsed="false">
      <c r="A40" s="3" t="s">
        <v>156</v>
      </c>
      <c r="B40" s="39"/>
      <c r="C40" s="39"/>
      <c r="D40" s="40" t="str">
        <f aca="false">IF(OR(B40="",C40=""),"Scenario pending",B40*C40)</f>
        <v>Scenario pending</v>
      </c>
      <c r="E40" s="2" t="s">
        <v>157</v>
      </c>
    </row>
    <row r="41" customFormat="false" ht="15" hidden="false" customHeight="false" outlineLevel="0" collapsed="false">
      <c r="A41" s="3" t="s">
        <v>158</v>
      </c>
      <c r="B41" s="39"/>
      <c r="C41" s="39"/>
      <c r="D41" s="40" t="str">
        <f aca="false">IF(OR(B41="",C41=""),"Scenario pending",B41*C41)</f>
        <v>Scenario pending</v>
      </c>
      <c r="E41" s="2" t="s">
        <v>159</v>
      </c>
    </row>
    <row r="43" customFormat="false" ht="15" hidden="false" customHeight="false" outlineLevel="0" collapsed="false">
      <c r="A43" s="10" t="s">
        <v>160</v>
      </c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3" t="s">
        <v>161</v>
      </c>
      <c r="B44" s="22" t="n">
        <f aca="false">'Value Bridge'!C10</f>
        <v>14600000</v>
      </c>
    </row>
    <row r="45" customFormat="false" ht="15" hidden="false" customHeight="false" outlineLevel="0" collapsed="false">
      <c r="A45" s="12" t="s">
        <v>162</v>
      </c>
      <c r="B45" s="39"/>
    </row>
    <row r="46" customFormat="false" ht="15" hidden="false" customHeight="false" outlineLevel="0" collapsed="false">
      <c r="A46" s="12" t="s">
        <v>163</v>
      </c>
      <c r="B46" s="39"/>
    </row>
    <row r="47" customFormat="false" ht="15" hidden="false" customHeight="false" outlineLevel="0" collapsed="false">
      <c r="A47" s="12" t="s">
        <v>164</v>
      </c>
      <c r="B47" s="39"/>
    </row>
    <row r="48" customFormat="false" ht="15" hidden="false" customHeight="false" outlineLevel="0" collapsed="false">
      <c r="A48" s="12" t="s">
        <v>165</v>
      </c>
      <c r="B48" s="39"/>
    </row>
    <row r="49" customFormat="false" ht="15" hidden="false" customHeight="false" outlineLevel="0" collapsed="false">
      <c r="A49" s="12" t="s">
        <v>166</v>
      </c>
      <c r="B49" s="39"/>
    </row>
    <row r="50" customFormat="false" ht="15" hidden="false" customHeight="false" outlineLevel="0" collapsed="false">
      <c r="A50" s="12" t="s">
        <v>167</v>
      </c>
      <c r="B50" s="39"/>
    </row>
    <row r="51" customFormat="false" ht="15" hidden="false" customHeight="false" outlineLevel="0" collapsed="false">
      <c r="A51" s="12" t="s">
        <v>168</v>
      </c>
      <c r="B51" s="39"/>
    </row>
    <row r="52" customFormat="false" ht="15" hidden="false" customHeight="false" outlineLevel="0" collapsed="false">
      <c r="A52" s="12" t="s">
        <v>169</v>
      </c>
      <c r="B52" s="39"/>
    </row>
    <row r="53" customFormat="false" ht="15" hidden="false" customHeight="false" outlineLevel="0" collapsed="false">
      <c r="A53" s="12" t="s">
        <v>170</v>
      </c>
      <c r="B53" s="39"/>
    </row>
    <row r="54" customFormat="false" ht="15" hidden="false" customHeight="false" outlineLevel="0" collapsed="false">
      <c r="A54" s="12" t="s">
        <v>171</v>
      </c>
      <c r="B54" s="39"/>
    </row>
    <row r="55" customFormat="false" ht="15" hidden="false" customHeight="false" outlineLevel="0" collapsed="false">
      <c r="A55" s="3" t="s">
        <v>172</v>
      </c>
      <c r="B55" s="40" t="str">
        <f aca="false">IF(COUNT(B45:B54)=0,"Elite data required",SUM(B45:B54))</f>
        <v>Elite data required</v>
      </c>
    </row>
    <row r="56" customFormat="false" ht="15" hidden="false" customHeight="false" outlineLevel="0" collapsed="false">
      <c r="A56" s="3" t="s">
        <v>173</v>
      </c>
      <c r="B56" s="41" t="str">
        <f aca="false">IF(ISNUMBER(B55),B44-B55,"Elite data required")</f>
        <v>Elite data required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3" t="s">
        <v>176</v>
      </c>
      <c r="C4" s="42" t="n">
        <v>0.8</v>
      </c>
      <c r="D4" s="2" t="s">
        <v>177</v>
      </c>
    </row>
    <row r="5" customFormat="false" ht="15" hidden="false" customHeight="false" outlineLevel="0" collapsed="false">
      <c r="A5" s="3" t="s">
        <v>178</v>
      </c>
      <c r="C5" s="43" t="n">
        <v>1000</v>
      </c>
    </row>
    <row r="6" customFormat="false" ht="15" hidden="false" customHeight="false" outlineLevel="0" collapsed="false">
      <c r="A6" s="3" t="s">
        <v>179</v>
      </c>
      <c r="C6" s="44" t="s">
        <v>113</v>
      </c>
    </row>
    <row r="8" customFormat="false" ht="15" hidden="false" customHeight="false" outlineLevel="0" collapsed="false">
      <c r="A8" s="9" t="s">
        <v>180</v>
      </c>
      <c r="B8" s="9" t="s">
        <v>181</v>
      </c>
      <c r="C8" s="9" t="s">
        <v>182</v>
      </c>
      <c r="D8" s="9" t="s">
        <v>4</v>
      </c>
    </row>
    <row r="10" customFormat="false" ht="15" hidden="false" customHeight="false" outlineLevel="0" collapsed="false">
      <c r="A10" s="20" t="s">
        <v>183</v>
      </c>
      <c r="B10" s="45" t="s">
        <v>184</v>
      </c>
      <c r="C10" s="46" t="n">
        <f aca="false">Revenue!$B$4*$C$4*$C$5*Revenue!$B$6</f>
        <v>14600000</v>
      </c>
      <c r="D10" s="47" t="str">
        <f aca="false">IF(ISNUMBER(C10),"Calculated","Not yet quantified — excluded")</f>
        <v>Calculated</v>
      </c>
    </row>
    <row r="11" customFormat="false" ht="15" hidden="false" customHeight="false" outlineLevel="0" collapsed="false">
      <c r="A11" s="20" t="s">
        <v>185</v>
      </c>
      <c r="B11" s="45" t="s">
        <v>184</v>
      </c>
      <c r="C11" s="46" t="str">
        <f aca="false">Revenue!D39</f>
        <v>Scenario pending</v>
      </c>
      <c r="D11" s="47" t="str">
        <f aca="false">IF(ISNUMBER(C11),"Calculated","Not yet quantified — excluded")</f>
        <v>Not yet quantified — excluded</v>
      </c>
    </row>
    <row r="12" customFormat="false" ht="15" hidden="false" customHeight="false" outlineLevel="0" collapsed="false">
      <c r="A12" s="20" t="s">
        <v>186</v>
      </c>
      <c r="B12" s="45" t="s">
        <v>184</v>
      </c>
      <c r="C12" s="46" t="str">
        <f aca="false">Revenue!D40</f>
        <v>Scenario pending</v>
      </c>
      <c r="D12" s="47" t="str">
        <f aca="false">IF(ISNUMBER(C12),"Calculated","Not yet quantified — excluded")</f>
        <v>Not yet quantified — excluded</v>
      </c>
    </row>
    <row r="13" customFormat="false" ht="15" hidden="false" customHeight="false" outlineLevel="0" collapsed="false">
      <c r="A13" s="20" t="s">
        <v>158</v>
      </c>
      <c r="B13" s="45" t="s">
        <v>184</v>
      </c>
      <c r="C13" s="46" t="str">
        <f aca="false">Revenue!D41</f>
        <v>Scenario pending</v>
      </c>
      <c r="D13" s="47" t="str">
        <f aca="false">IF(ISNUMBER(C13),"Calculated","Not yet quantified — excluded")</f>
        <v>Not yet quantified — excluded</v>
      </c>
    </row>
    <row r="14" customFormat="false" ht="15" hidden="false" customHeight="false" outlineLevel="0" collapsed="false">
      <c r="A14" s="20" t="s">
        <v>187</v>
      </c>
      <c r="B14" s="45" t="s">
        <v>184</v>
      </c>
      <c r="C14" s="46" t="str">
        <f aca="false">IF(OR(Inputs!$C$37="",Inputs!$C$38="",Inputs!$C$39=""),"Baseline required",Inputs!$C$37*Inputs!$C$38*Inputs!$C$39)</f>
        <v>Baseline required</v>
      </c>
      <c r="D14" s="47" t="str">
        <f aca="false">IF(ISNUMBER(C14),"Calculated","Not yet quantified — excluded")</f>
        <v>Not yet quantified — excluded</v>
      </c>
    </row>
    <row r="15" customFormat="false" ht="15" hidden="false" customHeight="false" outlineLevel="0" collapsed="false">
      <c r="A15" s="20" t="s">
        <v>188</v>
      </c>
      <c r="B15" s="48" t="s">
        <v>189</v>
      </c>
      <c r="C15" s="46" t="str">
        <f aca="false">IF(ISNUMBER(Revenue!$B$55),-Revenue!$B$55,"Elite data required")</f>
        <v>Elite data required</v>
      </c>
      <c r="D15" s="47" t="str">
        <f aca="false">IF(ISNUMBER(C15),"Calculated","Not yet quantified — excluded")</f>
        <v>Not yet quantified — excluded</v>
      </c>
    </row>
    <row r="16" customFormat="false" ht="15" hidden="false" customHeight="false" outlineLevel="0" collapsed="false">
      <c r="A16" s="20" t="s">
        <v>119</v>
      </c>
      <c r="B16" s="49" t="s">
        <v>190</v>
      </c>
      <c r="C16" s="46" t="str">
        <f aca="false">INDEX('Savings Scenarios'!$D$8:$F$8,MATCH($C$6,'Savings Scenarios'!$D$4:$F$4,0))</f>
        <v>Baseline required</v>
      </c>
      <c r="D16" s="47" t="str">
        <f aca="false">IF(ISNUMBER(C16),"Calculated","Not yet quantified — excluded")</f>
        <v>Not yet quantified — excluded</v>
      </c>
    </row>
    <row r="17" customFormat="false" ht="15" hidden="false" customHeight="false" outlineLevel="0" collapsed="false">
      <c r="A17" s="20" t="s">
        <v>121</v>
      </c>
      <c r="B17" s="49" t="s">
        <v>190</v>
      </c>
      <c r="C17" s="46" t="str">
        <f aca="false">INDEX('Savings Scenarios'!$D$9:$F$9,MATCH($C$6,'Savings Scenarios'!$D$4:$F$4,0))</f>
        <v>Baseline required</v>
      </c>
      <c r="D17" s="47" t="str">
        <f aca="false">IF(ISNUMBER(C17),"Calculated","Not yet quantified — excluded")</f>
        <v>Not yet quantified — excluded</v>
      </c>
    </row>
    <row r="18" customFormat="false" ht="15" hidden="false" customHeight="false" outlineLevel="0" collapsed="false">
      <c r="A18" s="20" t="s">
        <v>123</v>
      </c>
      <c r="B18" s="49" t="s">
        <v>190</v>
      </c>
      <c r="C18" s="46" t="str">
        <f aca="false">INDEX('Savings Scenarios'!$D$10:$F$10,MATCH($C$6,'Savings Scenarios'!$D$4:$F$4,0))</f>
        <v>Baseline required</v>
      </c>
      <c r="D18" s="47" t="str">
        <f aca="false">IF(ISNUMBER(C18),"Calculated","Not yet quantified — excluded")</f>
        <v>Not yet quantified — excluded</v>
      </c>
    </row>
    <row r="19" customFormat="false" ht="15" hidden="false" customHeight="false" outlineLevel="0" collapsed="false">
      <c r="A19" s="20" t="s">
        <v>125</v>
      </c>
      <c r="B19" s="49" t="s">
        <v>190</v>
      </c>
      <c r="C19" s="46" t="str">
        <f aca="false">INDEX('Savings Scenarios'!$D$11:$F$11,MATCH($C$6,'Savings Scenarios'!$D$4:$F$4,0))</f>
        <v>Baseline required</v>
      </c>
      <c r="D19" s="47" t="str">
        <f aca="false">IF(ISNUMBER(C19),"Calculated","Not yet quantified — excluded")</f>
        <v>Not yet quantified — excluded</v>
      </c>
    </row>
    <row r="20" customFormat="false" ht="15" hidden="false" customHeight="false" outlineLevel="0" collapsed="false">
      <c r="A20" s="20" t="s">
        <v>127</v>
      </c>
      <c r="B20" s="49" t="s">
        <v>190</v>
      </c>
      <c r="C20" s="46" t="str">
        <f aca="false">INDEX('Savings Scenarios'!$D$12:$F$12,MATCH($C$6,'Savings Scenarios'!$D$4:$F$4,0))</f>
        <v>Baseline required</v>
      </c>
      <c r="D20" s="47" t="str">
        <f aca="false">IF(ISNUMBER(C20),"Calculated","Not yet quantified — excluded")</f>
        <v>Not yet quantified — excluded</v>
      </c>
    </row>
    <row r="21" customFormat="false" ht="15" hidden="false" customHeight="false" outlineLevel="0" collapsed="false">
      <c r="A21" s="20" t="s">
        <v>129</v>
      </c>
      <c r="B21" s="49" t="s">
        <v>190</v>
      </c>
      <c r="C21" s="46" t="str">
        <f aca="false">INDEX('Savings Scenarios'!$D$13:$F$13,MATCH($C$6,'Savings Scenarios'!$D$4:$F$4,0))</f>
        <v>Baseline required</v>
      </c>
      <c r="D21" s="47" t="str">
        <f aca="false">IF(ISNUMBER(C21),"Calculated","Not yet quantified — excluded")</f>
        <v>Not yet quantified — excluded</v>
      </c>
    </row>
    <row r="23" customFormat="false" ht="15" hidden="false" customHeight="false" outlineLevel="0" collapsed="false">
      <c r="A23" s="3" t="s">
        <v>191</v>
      </c>
      <c r="C23" s="40" t="n">
        <f aca="false">SUMIF(B10:B21,"Revenue",C10:C21)</f>
        <v>14600000</v>
      </c>
    </row>
    <row r="24" customFormat="false" ht="15" hidden="false" customHeight="false" outlineLevel="0" collapsed="false">
      <c r="A24" s="3" t="s">
        <v>192</v>
      </c>
      <c r="C24" s="40" t="n">
        <f aca="false">SUMIF(B10:B21,"Cost avoidance",C10:C21)</f>
        <v>0</v>
      </c>
    </row>
    <row r="25" customFormat="false" ht="15" hidden="false" customHeight="false" outlineLevel="0" collapsed="false">
      <c r="A25" s="3" t="s">
        <v>193</v>
      </c>
      <c r="C25" s="40" t="n">
        <f aca="false">SUMIF(B10:B21,"Cost",C10:C21)</f>
        <v>0</v>
      </c>
    </row>
    <row r="26" customFormat="false" ht="15" hidden="false" customHeight="false" outlineLevel="0" collapsed="false">
      <c r="A26" s="50" t="s">
        <v>194</v>
      </c>
      <c r="B26" s="51"/>
      <c r="C26" s="52" t="str">
        <f aca="false">IF(COUNT(C15)=0,"To be quantified",SUM(C23:C25))</f>
        <v>To be quantified</v>
      </c>
      <c r="D26" s="53" t="s">
        <v>195</v>
      </c>
    </row>
    <row r="28" customFormat="false" ht="15" hidden="false" customHeight="false" outlineLevel="0" collapsed="false">
      <c r="A28" s="2" t="s">
        <v>196</v>
      </c>
    </row>
  </sheetData>
  <dataValidations count="3">
    <dataValidation allowBlank="false" errorStyle="stop" operator="between" showDropDown="false" showErrorMessage="false" showInputMessage="false" sqref="C4" type="list">
      <formula1>"0.6,0.7,0.8,0.9"</formula1>
      <formula2>0</formula2>
    </dataValidation>
    <dataValidation allowBlank="false" errorStyle="stop" operator="between" showDropDown="false" showErrorMessage="false" showInputMessage="false" sqref="C5" type="list">
      <formula1>"800,1000,1200"</formula1>
      <formula2>0</formula2>
    </dataValidation>
    <dataValidation allowBlank="false" errorStyle="stop" operator="between" showDropDown="false" showErrorMessage="false" showInputMessage="false" sqref="C6" type="list">
      <formula1>"Low,Mid,High"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2026-10-06T18:44:10Z</dcterms:created>
  <dc:creator>openpyxl</dc:creator>
  <dc:description/>
  <dc:language>en-US</dc:language>
  <cp:lastModifiedBy/>
  <dcterms:modified xsi:type="dcterms:W3CDTF">2026-10-06T18:44:10Z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